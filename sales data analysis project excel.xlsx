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 activeTab="4"/>
  </bookViews>
  <sheets>
    <sheet name="Sheet5" sheetId="6" r:id="rId1"/>
    <sheet name="Sheet1" sheetId="1" r:id="rId2"/>
    <sheet name="Sheet2" sheetId="2" r:id="rId3"/>
    <sheet name="Sheet3" sheetId="3" r:id="rId4"/>
    <sheet name="Sheet4" sheetId="5" r:id="rId5"/>
  </sheets>
  <definedNames>
    <definedName name="Sales_Data">Sheet1!$A$2:$J$31</definedName>
  </definedNames>
  <calcPr calcId="144525"/>
  <pivotCaches>
    <pivotCache cacheId="11" r:id="rId6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J14" i="1" s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<sst xmlns="http://schemas.openxmlformats.org/spreadsheetml/2006/main" count="241" uniqueCount="88">
  <si>
    <t>Order_ID</t>
  </si>
  <si>
    <t>Order_Date</t>
  </si>
  <si>
    <t>Region</t>
  </si>
  <si>
    <t>City</t>
  </si>
  <si>
    <t>Category</t>
  </si>
  <si>
    <t>Product_Name</t>
  </si>
  <si>
    <t>Units_Sold</t>
  </si>
  <si>
    <t>Unit_Price</t>
  </si>
  <si>
    <t>Total_Sales</t>
  </si>
  <si>
    <t>Salesperson</t>
  </si>
  <si>
    <t>ORD001</t>
  </si>
  <si>
    <t>West</t>
  </si>
  <si>
    <t>Lahore</t>
  </si>
  <si>
    <t>Electronics</t>
  </si>
  <si>
    <t>Headphones</t>
  </si>
  <si>
    <t>Ali</t>
  </si>
  <si>
    <t>ORD002</t>
  </si>
  <si>
    <t>South</t>
  </si>
  <si>
    <t>Karachi</t>
  </si>
  <si>
    <t>Mouse</t>
  </si>
  <si>
    <t>Sara</t>
  </si>
  <si>
    <t>ORD003</t>
  </si>
  <si>
    <t>Furniture</t>
  </si>
  <si>
    <t>Chair</t>
  </si>
  <si>
    <t>Ahmed</t>
  </si>
  <si>
    <t>ORD004</t>
  </si>
  <si>
    <t>East</t>
  </si>
  <si>
    <t>Islamabad</t>
  </si>
  <si>
    <t>Keyboard</t>
  </si>
  <si>
    <t>Ayesha</t>
  </si>
  <si>
    <t>ORD005</t>
  </si>
  <si>
    <t>North</t>
  </si>
  <si>
    <t>Peshawar</t>
  </si>
  <si>
    <t>Table</t>
  </si>
  <si>
    <t>Bilal</t>
  </si>
  <si>
    <t>ORD006</t>
  </si>
  <si>
    <t>Laptop</t>
  </si>
  <si>
    <t>ORD007</t>
  </si>
  <si>
    <t>Monitor</t>
  </si>
  <si>
    <t>ORD008</t>
  </si>
  <si>
    <t>Printer</t>
  </si>
  <si>
    <t>ORD009</t>
  </si>
  <si>
    <t>Sofa</t>
  </si>
  <si>
    <t>ORD010</t>
  </si>
  <si>
    <t>Tablet</t>
  </si>
  <si>
    <t>ORD011</t>
  </si>
  <si>
    <t>ORD012</t>
  </si>
  <si>
    <t>Desk</t>
  </si>
  <si>
    <t>ORD013</t>
  </si>
  <si>
    <t>13-01-2025</t>
  </si>
  <si>
    <t>ORD014</t>
  </si>
  <si>
    <t>14-01-2025</t>
  </si>
  <si>
    <t>ORD015</t>
  </si>
  <si>
    <t>15-01-2025</t>
  </si>
  <si>
    <t>ORD016</t>
  </si>
  <si>
    <t>16-01-2025</t>
  </si>
  <si>
    <t>ORD017</t>
  </si>
  <si>
    <t>17-01-2025</t>
  </si>
  <si>
    <t>ORD018</t>
  </si>
  <si>
    <t>18-01-2025</t>
  </si>
  <si>
    <t>ORD019</t>
  </si>
  <si>
    <t>19-01-2025</t>
  </si>
  <si>
    <t>ORD020</t>
  </si>
  <si>
    <t>20-01-2025</t>
  </si>
  <si>
    <t>ORD021</t>
  </si>
  <si>
    <t>21-01-2025</t>
  </si>
  <si>
    <t>ORD022</t>
  </si>
  <si>
    <t>22-01-2025</t>
  </si>
  <si>
    <t>ORD023</t>
  </si>
  <si>
    <t>23-01-2025</t>
  </si>
  <si>
    <t>ORD024</t>
  </si>
  <si>
    <t>24-01-2025</t>
  </si>
  <si>
    <t>ORD025</t>
  </si>
  <si>
    <t>25-01-2025</t>
  </si>
  <si>
    <t>ORD026</t>
  </si>
  <si>
    <t>26-01-2025</t>
  </si>
  <si>
    <t>ORD027</t>
  </si>
  <si>
    <t>27-01-2025</t>
  </si>
  <si>
    <t>ORD028</t>
  </si>
  <si>
    <t>28-01-2025</t>
  </si>
  <si>
    <t>ORD029</t>
  </si>
  <si>
    <t>29-01-2025</t>
  </si>
  <si>
    <t>ORD030</t>
  </si>
  <si>
    <t>30-01-2025</t>
  </si>
  <si>
    <t>Sum of Total_Sales</t>
  </si>
  <si>
    <t>Sum of Units_Sold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</si>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</sst>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ont="1" applyBorder="1" applyAlignment="1">
      <alignment vertical="center" wrapText="1"/>
    </xf>
    <xf numFmtId="14" fontId="0" fillId="0" borderId="2" xfId="0" applyNumberFormat="1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vertical="center" wrapText="1"/>
    </xf>
    <xf numFmtId="14" fontId="0" fillId="3" borderId="5" xfId="0" applyNumberFormat="1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14" fontId="0" fillId="0" borderId="5" xfId="0" applyNumberFormat="1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pivotButton="1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project excel.xlsx]Sheet5!PivotTable1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Total_Sales</c:v>
                </c:pt>
              </c:strCache>
            </c:strRef>
          </c:tx>
          <c:invertIfNegative val="0"/>
          <c:cat>
            <c:strRef>
              <c:f>Sheet5!$A$4:$A$8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Sheet5!$B$4:$B$8</c:f>
              <c:numCache>
                <c:formatCode>"$"#,##0</c:formatCode>
                <c:ptCount val="4"/>
                <c:pt idx="0">
                  <c:v>372500</c:v>
                </c:pt>
                <c:pt idx="1">
                  <c:v>391500</c:v>
                </c:pt>
                <c:pt idx="2">
                  <c:v>449500</c:v>
                </c:pt>
                <c:pt idx="3">
                  <c:v>252500</c:v>
                </c:pt>
              </c:numCache>
            </c:numRef>
          </c:val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Units_Sold</c:v>
                </c:pt>
              </c:strCache>
            </c:strRef>
          </c:tx>
          <c:invertIfNegative val="0"/>
          <c:cat>
            <c:strRef>
              <c:f>Sheet5!$A$4:$A$8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Sheet5!$C$4:$C$8</c:f>
              <c:numCache>
                <c:formatCode>0</c:formatCode>
                <c:ptCount val="4"/>
                <c:pt idx="0">
                  <c:v>18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33600"/>
        <c:axId val="678449664"/>
      </c:barChart>
      <c:catAx>
        <c:axId val="150233600"/>
        <c:scaling>
          <c:orientation val="minMax"/>
        </c:scaling>
        <c:delete val="0"/>
        <c:axPos val="b"/>
        <c:majorTickMark val="out"/>
        <c:minorTickMark val="none"/>
        <c:tickLblPos val="nextTo"/>
        <c:crossAx val="678449664"/>
        <c:crosses val="autoZero"/>
        <c:auto val="1"/>
        <c:lblAlgn val="ctr"/>
        <c:lblOffset val="100"/>
        <c:noMultiLvlLbl val="0"/>
      </c:catAx>
      <c:valAx>
        <c:axId val="678449664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150233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v>Sum of Total_Sales - Electronics - East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85000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120000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7500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60000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10000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1"/>
          <c:order val="1"/>
          <c:tx>
            <c:v>Sum of Total_Sales - Electronics - North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85000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7500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160000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2"/>
          <c:order val="2"/>
          <c:tx>
            <c:v>Sum of Total_Sales - Electronics - South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8000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60000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85000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4500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170000</c:v>
              </c:pt>
              <c:pt idx="24">
                <c:v>0</c:v>
              </c:pt>
              <c:pt idx="25">
                <c:v>50000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3"/>
          <c:order val="3"/>
          <c:tx>
            <c:v>Sum of Total_Sales - Electronics - West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12500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25000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10000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90000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9000</c:v>
              </c:pt>
              <c:pt idx="29">
                <c:v>0</c:v>
              </c:pt>
            </c:numLit>
          </c:val>
          <c:smooth val="0"/>
        </c:ser>
        <c:ser>
          <c:idx val="4"/>
          <c:order val="4"/>
          <c:tx>
            <c:v>Sum of Total_Sales - Furniture - East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30000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60000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5"/>
          <c:order val="5"/>
          <c:tx>
            <c:v>Sum of Total_Sales - Furniture - North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24000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40000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60000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15000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6"/>
          <c:order val="6"/>
          <c:tx>
            <c:v>Sum of Total_Sales - Furniture - South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32000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40000</c:v>
              </c:pt>
            </c:numLit>
          </c:val>
          <c:smooth val="0"/>
        </c:ser>
        <c:ser>
          <c:idx val="7"/>
          <c:order val="7"/>
          <c:tx>
            <c:v>Sum of Total_Sales - Furniture - West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60000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30000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16000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8"/>
          <c:order val="8"/>
          <c:tx>
            <c:v>Sum of Units_Sold - Electronics - East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3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5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2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4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9"/>
          <c:order val="9"/>
          <c:tx>
            <c:v>Sum of Units_Sold - Electronics - North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3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4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10"/>
          <c:order val="10"/>
          <c:tx>
            <c:v>Sum of Units_Sold - Electronics - South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2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1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3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2</c:v>
              </c:pt>
              <c:pt idx="24">
                <c:v>0</c:v>
              </c:pt>
              <c:pt idx="25">
                <c:v>2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11"/>
          <c:order val="11"/>
          <c:tx>
            <c:v>Sum of Units_Sold - Electronics - West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5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3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6</c:v>
              </c:pt>
              <c:pt idx="29">
                <c:v>0</c:v>
              </c:pt>
            </c:numLit>
          </c:val>
          <c:smooth val="0"/>
        </c:ser>
        <c:ser>
          <c:idx val="12"/>
          <c:order val="12"/>
          <c:tx>
            <c:v>Sum of Units_Sold - Furniture - East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1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13"/>
          <c:order val="13"/>
          <c:tx>
            <c:v>Sum of Units_Sold - Furniture - North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1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14"/>
          <c:order val="14"/>
          <c:tx>
            <c:v>Sum of Units_Sold - Furniture - South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4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2</c:v>
              </c:pt>
            </c:numLit>
          </c:val>
          <c:smooth val="0"/>
        </c:ser>
        <c:ser>
          <c:idx val="15"/>
          <c:order val="15"/>
          <c:tx>
            <c:v>Sum of Units_Sold - Furniture - West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2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2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16"/>
          <c:order val="16"/>
          <c:tx>
            <c:v>Sum of Units_Sold2 - Electronics - East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3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5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2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4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17"/>
          <c:order val="17"/>
          <c:tx>
            <c:v>Sum of Units_Sold2 - Electronics - North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3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4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18"/>
          <c:order val="18"/>
          <c:tx>
            <c:v>Sum of Units_Sold2 - Electronics - South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2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1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3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2</c:v>
              </c:pt>
              <c:pt idx="24">
                <c:v>0</c:v>
              </c:pt>
              <c:pt idx="25">
                <c:v>2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19"/>
          <c:order val="19"/>
          <c:tx>
            <c:v>Sum of Units_Sold2 - Electronics - West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5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3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6</c:v>
              </c:pt>
              <c:pt idx="29">
                <c:v>0</c:v>
              </c:pt>
            </c:numLit>
          </c:val>
          <c:smooth val="0"/>
        </c:ser>
        <c:ser>
          <c:idx val="20"/>
          <c:order val="20"/>
          <c:tx>
            <c:v>Sum of Units_Sold2 - Furniture - East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1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21"/>
          <c:order val="21"/>
          <c:tx>
            <c:v>Sum of Units_Sold2 - Furniture - North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1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ser>
          <c:idx val="22"/>
          <c:order val="22"/>
          <c:tx>
            <c:v>Sum of Units_Sold2 - Furniture - South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4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2</c:v>
              </c:pt>
            </c:numLit>
          </c:val>
          <c:smooth val="0"/>
        </c:ser>
        <c:ser>
          <c:idx val="23"/>
          <c:order val="23"/>
          <c:tx>
            <c:v>Sum of Units_Sold2 - Furniture - West</c:v>
          </c:tx>
          <c:marker>
            <c:symbol val="none"/>
          </c:marker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2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2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37344"/>
        <c:axId val="178188800"/>
      </c:lineChart>
      <c:catAx>
        <c:axId val="154937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8188800"/>
        <c:crosses val="autoZero"/>
        <c:auto val="1"/>
        <c:lblAlgn val="ctr"/>
        <c:lblOffset val="100"/>
        <c:noMultiLvlLbl val="0"/>
      </c:catAx>
      <c:valAx>
        <c:axId val="178188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937344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Sum of Total_Sales - Electronics - East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85000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120000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7500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60000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10000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1"/>
          <c:order val="1"/>
          <c:tx>
            <c:v>Sum of Total_Sales - Electronics - North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85000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7500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160000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2"/>
          <c:order val="2"/>
          <c:tx>
            <c:v>Sum of Total_Sales - Electronics - South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8000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60000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85000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4500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170000</c:v>
              </c:pt>
              <c:pt idx="24">
                <c:v>0</c:v>
              </c:pt>
              <c:pt idx="25">
                <c:v>50000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3"/>
          <c:order val="3"/>
          <c:tx>
            <c:v>Sum of Total_Sales - Electronics - West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12500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25000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10000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90000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9000</c:v>
              </c:pt>
              <c:pt idx="29">
                <c:v>0</c:v>
              </c:pt>
            </c:numLit>
          </c:val>
        </c:ser>
        <c:ser>
          <c:idx val="4"/>
          <c:order val="4"/>
          <c:tx>
            <c:v>Sum of Total_Sales - Furniture - East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30000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60000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5"/>
          <c:order val="5"/>
          <c:tx>
            <c:v>Sum of Total_Sales - Furniture - North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24000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40000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60000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15000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6"/>
          <c:order val="6"/>
          <c:tx>
            <c:v>Sum of Total_Sales - Furniture - South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32000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40000</c:v>
              </c:pt>
            </c:numLit>
          </c:val>
        </c:ser>
        <c:ser>
          <c:idx val="7"/>
          <c:order val="7"/>
          <c:tx>
            <c:v>Sum of Total_Sales - Furniture - West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60000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30000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16000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8"/>
          <c:order val="8"/>
          <c:tx>
            <c:v>Sum of Units_Sold - Electronics - East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3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5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2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4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9"/>
          <c:order val="9"/>
          <c:tx>
            <c:v>Sum of Units_Sold - Electronics - North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3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4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10"/>
          <c:order val="10"/>
          <c:tx>
            <c:v>Sum of Units_Sold - Electronics - South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2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1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3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2</c:v>
              </c:pt>
              <c:pt idx="24">
                <c:v>0</c:v>
              </c:pt>
              <c:pt idx="25">
                <c:v>2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11"/>
          <c:order val="11"/>
          <c:tx>
            <c:v>Sum of Units_Sold - Electronics - West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5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3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6</c:v>
              </c:pt>
              <c:pt idx="29">
                <c:v>0</c:v>
              </c:pt>
            </c:numLit>
          </c:val>
        </c:ser>
        <c:ser>
          <c:idx val="12"/>
          <c:order val="12"/>
          <c:tx>
            <c:v>Sum of Units_Sold - Furniture - East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1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13"/>
          <c:order val="13"/>
          <c:tx>
            <c:v>Sum of Units_Sold - Furniture - North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1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14"/>
          <c:order val="14"/>
          <c:tx>
            <c:v>Sum of Units_Sold - Furniture - South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4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2</c:v>
              </c:pt>
            </c:numLit>
          </c:val>
        </c:ser>
        <c:ser>
          <c:idx val="15"/>
          <c:order val="15"/>
          <c:tx>
            <c:v>Sum of Units_Sold - Furniture - West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2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2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16"/>
          <c:order val="16"/>
          <c:tx>
            <c:v>Sum of Units_Sold2 - Electronics - East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3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5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2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4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17"/>
          <c:order val="17"/>
          <c:tx>
            <c:v>Sum of Units_Sold2 - Electronics - North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3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4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18"/>
          <c:order val="18"/>
          <c:tx>
            <c:v>Sum of Units_Sold2 - Electronics - South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2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1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3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2</c:v>
              </c:pt>
              <c:pt idx="24">
                <c:v>0</c:v>
              </c:pt>
              <c:pt idx="25">
                <c:v>2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19"/>
          <c:order val="19"/>
          <c:tx>
            <c:v>Sum of Units_Sold2 - Electronics - West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5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3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6</c:v>
              </c:pt>
              <c:pt idx="29">
                <c:v>0</c:v>
              </c:pt>
            </c:numLit>
          </c:val>
        </c:ser>
        <c:ser>
          <c:idx val="20"/>
          <c:order val="20"/>
          <c:tx>
            <c:v>Sum of Units_Sold2 - Furniture - East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1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21"/>
          <c:order val="21"/>
          <c:tx>
            <c:v>Sum of Units_Sold2 - Furniture - North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1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ser>
          <c:idx val="22"/>
          <c:order val="22"/>
          <c:tx>
            <c:v>Sum of Units_Sold2 - Furniture - South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4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2</c:v>
              </c:pt>
            </c:numLit>
          </c:val>
        </c:ser>
        <c:ser>
          <c:idx val="23"/>
          <c:order val="23"/>
          <c:tx>
            <c:v>Sum of Units_Sold2 - Furniture - West</c:v>
          </c:tx>
          <c:invertIfNegative val="0"/>
          <c:cat>
            <c:strLit>
              <c:ptCount val="30"/>
              <c:pt idx="0">
                <c:v>13-01-2025</c:v>
              </c:pt>
              <c:pt idx="1">
                <c:v>14-01-2025</c:v>
              </c:pt>
              <c:pt idx="2">
                <c:v>15-01-2025</c:v>
              </c:pt>
              <c:pt idx="3">
                <c:v>16-01-2025</c:v>
              </c:pt>
              <c:pt idx="4">
                <c:v>17-01-2025</c:v>
              </c:pt>
              <c:pt idx="5">
                <c:v>18-01-2025</c:v>
              </c:pt>
              <c:pt idx="6">
                <c:v>19-01-2025</c:v>
              </c:pt>
              <c:pt idx="7">
                <c:v>20-01-2025</c:v>
              </c:pt>
              <c:pt idx="8">
                <c:v>21-01-2025</c:v>
              </c:pt>
              <c:pt idx="9">
                <c:v>22-01-2025</c:v>
              </c:pt>
              <c:pt idx="10">
                <c:v>23-01-2025</c:v>
              </c:pt>
              <c:pt idx="11">
                <c:v>24-01-2025</c:v>
              </c:pt>
              <c:pt idx="12">
                <c:v>25-01-2025</c:v>
              </c:pt>
              <c:pt idx="13">
                <c:v>26-01-2025</c:v>
              </c:pt>
              <c:pt idx="14">
                <c:v>27-01-2025</c:v>
              </c:pt>
              <c:pt idx="15">
                <c:v>28-01-2025</c:v>
              </c:pt>
              <c:pt idx="16">
                <c:v>29-01-2025</c:v>
              </c:pt>
              <c:pt idx="17">
                <c:v>30-01-2025</c:v>
              </c:pt>
              <c:pt idx="18">
                <c:v>1/1/2025</c:v>
              </c:pt>
              <c:pt idx="19">
                <c:v>2/1/2025</c:v>
              </c:pt>
              <c:pt idx="20">
                <c:v>3/1/2025</c:v>
              </c:pt>
              <c:pt idx="21">
                <c:v>4/1/2025</c:v>
              </c:pt>
              <c:pt idx="22">
                <c:v>5/1/2025</c:v>
              </c:pt>
              <c:pt idx="23">
                <c:v>6/1/2025</c:v>
              </c:pt>
              <c:pt idx="24">
                <c:v>7/1/2025</c:v>
              </c:pt>
              <c:pt idx="25">
                <c:v>8/1/2025</c:v>
              </c:pt>
              <c:pt idx="26">
                <c:v>9/1/2025</c:v>
              </c:pt>
              <c:pt idx="27">
                <c:v>10/1/2025</c:v>
              </c:pt>
              <c:pt idx="28">
                <c:v>11/1/2025</c:v>
              </c:pt>
              <c:pt idx="29">
                <c:v>12/1/2025</c:v>
              </c:pt>
            </c:str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2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2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881024"/>
        <c:axId val="178190528"/>
      </c:barChart>
      <c:catAx>
        <c:axId val="154881024"/>
        <c:scaling>
          <c:orientation val="minMax"/>
        </c:scaling>
        <c:delete val="0"/>
        <c:axPos val="b"/>
        <c:majorTickMark val="out"/>
        <c:minorTickMark val="none"/>
        <c:tickLblPos val="nextTo"/>
        <c:crossAx val="178190528"/>
        <c:crosses val="autoZero"/>
        <c:auto val="1"/>
        <c:lblAlgn val="ctr"/>
        <c:lblOffset val="100"/>
        <c:noMultiLvlLbl val="0"/>
      </c:catAx>
      <c:valAx>
        <c:axId val="17819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881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project excel.xlsx]Sheet3!PivotTable2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Sheet3!$A$2:$A$32</c:f>
              <c:strCache>
                <c:ptCount val="30"/>
                <c:pt idx="0">
                  <c:v>13-01-2025</c:v>
                </c:pt>
                <c:pt idx="1">
                  <c:v>14-01-2025</c:v>
                </c:pt>
                <c:pt idx="2">
                  <c:v>15-01-2025</c:v>
                </c:pt>
                <c:pt idx="3">
                  <c:v>16-01-2025</c:v>
                </c:pt>
                <c:pt idx="4">
                  <c:v>17-01-2025</c:v>
                </c:pt>
                <c:pt idx="5">
                  <c:v>18-01-2025</c:v>
                </c:pt>
                <c:pt idx="6">
                  <c:v>19-01-2025</c:v>
                </c:pt>
                <c:pt idx="7">
                  <c:v>20-01-2025</c:v>
                </c:pt>
                <c:pt idx="8">
                  <c:v>21-01-2025</c:v>
                </c:pt>
                <c:pt idx="9">
                  <c:v>22-01-2025</c:v>
                </c:pt>
                <c:pt idx="10">
                  <c:v>23-01-2025</c:v>
                </c:pt>
                <c:pt idx="11">
                  <c:v>24-01-2025</c:v>
                </c:pt>
                <c:pt idx="12">
                  <c:v>25-01-2025</c:v>
                </c:pt>
                <c:pt idx="13">
                  <c:v>26-01-2025</c:v>
                </c:pt>
                <c:pt idx="14">
                  <c:v>27-01-2025</c:v>
                </c:pt>
                <c:pt idx="15">
                  <c:v>28-01-2025</c:v>
                </c:pt>
                <c:pt idx="16">
                  <c:v>29-01-2025</c:v>
                </c:pt>
                <c:pt idx="17">
                  <c:v>30-01-2025</c:v>
                </c:pt>
                <c:pt idx="18">
                  <c:v>1/1/2025</c:v>
                </c:pt>
                <c:pt idx="19">
                  <c:v>2/1/2025</c:v>
                </c:pt>
                <c:pt idx="20">
                  <c:v>3/1/2025</c:v>
                </c:pt>
                <c:pt idx="21">
                  <c:v>4/1/2025</c:v>
                </c:pt>
                <c:pt idx="22">
                  <c:v>5/1/2025</c:v>
                </c:pt>
                <c:pt idx="23">
                  <c:v>6/1/2025</c:v>
                </c:pt>
                <c:pt idx="24">
                  <c:v>7/1/2025</c:v>
                </c:pt>
                <c:pt idx="25">
                  <c:v>8/1/2025</c:v>
                </c:pt>
                <c:pt idx="26">
                  <c:v>9/1/2025</c:v>
                </c:pt>
                <c:pt idx="27">
                  <c:v>10/1/2025</c:v>
                </c:pt>
                <c:pt idx="28">
                  <c:v>11/1/2025</c:v>
                </c:pt>
                <c:pt idx="29">
                  <c:v>12/1/2025</c:v>
                </c:pt>
              </c:strCache>
            </c:strRef>
          </c:cat>
          <c:val>
            <c:numRef>
              <c:f>Sheet3!$B$2:$B$32</c:f>
              <c:numCache>
                <c:formatCode>General</c:formatCode>
                <c:ptCount val="30"/>
                <c:pt idx="0">
                  <c:v>85000</c:v>
                </c:pt>
                <c:pt idx="1">
                  <c:v>24000</c:v>
                </c:pt>
                <c:pt idx="2">
                  <c:v>12500</c:v>
                </c:pt>
                <c:pt idx="3">
                  <c:v>8000</c:v>
                </c:pt>
                <c:pt idx="4">
                  <c:v>30000</c:v>
                </c:pt>
                <c:pt idx="5">
                  <c:v>85000</c:v>
                </c:pt>
                <c:pt idx="6">
                  <c:v>60000</c:v>
                </c:pt>
                <c:pt idx="7">
                  <c:v>60000</c:v>
                </c:pt>
                <c:pt idx="8">
                  <c:v>120000</c:v>
                </c:pt>
                <c:pt idx="9">
                  <c:v>40000</c:v>
                </c:pt>
                <c:pt idx="10">
                  <c:v>25000</c:v>
                </c:pt>
                <c:pt idx="11">
                  <c:v>32000</c:v>
                </c:pt>
                <c:pt idx="12">
                  <c:v>7500</c:v>
                </c:pt>
                <c:pt idx="13">
                  <c:v>7500</c:v>
                </c:pt>
                <c:pt idx="14">
                  <c:v>30000</c:v>
                </c:pt>
                <c:pt idx="15">
                  <c:v>85000</c:v>
                </c:pt>
                <c:pt idx="16">
                  <c:v>60000</c:v>
                </c:pt>
                <c:pt idx="17">
                  <c:v>60000</c:v>
                </c:pt>
                <c:pt idx="18">
                  <c:v>10000</c:v>
                </c:pt>
                <c:pt idx="19">
                  <c:v>4500</c:v>
                </c:pt>
                <c:pt idx="20">
                  <c:v>16000</c:v>
                </c:pt>
                <c:pt idx="21">
                  <c:v>10000</c:v>
                </c:pt>
                <c:pt idx="22">
                  <c:v>15000</c:v>
                </c:pt>
                <c:pt idx="23">
                  <c:v>170000</c:v>
                </c:pt>
                <c:pt idx="24">
                  <c:v>90000</c:v>
                </c:pt>
                <c:pt idx="25">
                  <c:v>50000</c:v>
                </c:pt>
                <c:pt idx="26">
                  <c:v>60000</c:v>
                </c:pt>
                <c:pt idx="27">
                  <c:v>160000</c:v>
                </c:pt>
                <c:pt idx="28">
                  <c:v>9000</c:v>
                </c:pt>
                <c:pt idx="29">
                  <c:v>40000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67552"/>
        <c:axId val="153008896"/>
      </c:lineChart>
      <c:catAx>
        <c:axId val="153367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3008896"/>
        <c:crosses val="autoZero"/>
        <c:auto val="1"/>
        <c:lblAlgn val="ctr"/>
        <c:lblOffset val="100"/>
        <c:noMultiLvlLbl val="0"/>
      </c:catAx>
      <c:valAx>
        <c:axId val="153008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367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project excel.xlsx]Sheet4!PivotTable3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Sheet4!$A$2:$A$4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Sheet4!$B$2:$B$4</c:f>
              <c:numCache>
                <c:formatCode>General</c:formatCode>
                <c:ptCount val="2"/>
                <c:pt idx="0">
                  <c:v>1059000</c:v>
                </c:pt>
                <c:pt idx="1">
                  <c:v>407000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</xdr:row>
      <xdr:rowOff>66675</xdr:rowOff>
    </xdr:from>
    <xdr:to>
      <xdr:col>11</xdr:col>
      <xdr:colOff>381000</xdr:colOff>
      <xdr:row>16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19050</xdr:rowOff>
    </xdr:from>
    <xdr:to>
      <xdr:col>7</xdr:col>
      <xdr:colOff>342900</xdr:colOff>
      <xdr:row>15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1</xdr:row>
      <xdr:rowOff>57150</xdr:rowOff>
    </xdr:from>
    <xdr:to>
      <xdr:col>15</xdr:col>
      <xdr:colOff>361950</xdr:colOff>
      <xdr:row>15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4</xdr:row>
      <xdr:rowOff>180975</xdr:rowOff>
    </xdr:from>
    <xdr:to>
      <xdr:col>10</xdr:col>
      <xdr:colOff>581025</xdr:colOff>
      <xdr:row>19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4</xdr:row>
      <xdr:rowOff>180975</xdr:rowOff>
    </xdr:from>
    <xdr:to>
      <xdr:col>10</xdr:col>
      <xdr:colOff>600075</xdr:colOff>
      <xdr:row>19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85.968291435187" createdVersion="4" refreshedVersion="4" minRefreshableVersion="3" recordCount="30">
  <cacheSource type="worksheet">
    <worksheetSource ref="A1:J31" sheet="Sheet1"/>
  </cacheSource>
  <cacheFields count="10">
    <cacheField name="Order_ID" numFmtId="0">
      <sharedItems/>
    </cacheField>
    <cacheField name="Order_Date" numFmtId="14">
      <sharedItems containsDate="1" containsMixedTypes="1" minDate="2025-01-01T00:00:00" maxDate="2025-12-02T00:00:00" count="30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3-01-2025"/>
        <s v="14-01-2025"/>
        <s v="15-01-2025"/>
        <s v="16-01-2025"/>
        <s v="17-01-2025"/>
        <s v="18-01-2025"/>
        <s v="19-01-2025"/>
        <s v="20-01-2025"/>
        <s v="21-01-2025"/>
        <s v="22-01-2025"/>
        <s v="23-01-2025"/>
        <s v="24-01-2025"/>
        <s v="25-01-2025"/>
        <s v="26-01-2025"/>
        <s v="27-01-2025"/>
        <s v="28-01-2025"/>
        <s v="29-01-2025"/>
        <s v="30-01-2025"/>
      </sharedItems>
    </cacheField>
    <cacheField name="Region" numFmtId="0">
      <sharedItems count="4">
        <s v="West"/>
        <s v="South"/>
        <s v="East"/>
        <s v="North"/>
      </sharedItems>
    </cacheField>
    <cacheField name="City" numFmtId="0">
      <sharedItems/>
    </cacheField>
    <cacheField name="Category" numFmtId="0">
      <sharedItems count="2">
        <s v="Electronics"/>
        <s v="Furniture"/>
      </sharedItems>
    </cacheField>
    <cacheField name="Product_Name" numFmtId="0">
      <sharedItems/>
    </cacheField>
    <cacheField name="Units_Sold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1500" maxValue="85000"/>
    </cacheField>
    <cacheField name="Total_Sales" numFmtId="0">
      <sharedItems containsSemiMixedTypes="0" containsString="0" containsNumber="1" containsInteger="1" minValue="4500" maxValue="170000"/>
    </cacheField>
    <cacheField name="Salesperson" numFmtId="0">
      <sharedItems containsMixedTypes="1" containsNumber="1" containsInteger="1" minValue="7225000000" maxValue="7225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ORD001"/>
    <x v="0"/>
    <x v="0"/>
    <s v="Lahore"/>
    <x v="0"/>
    <s v="Headphones"/>
    <n v="5"/>
    <n v="2000"/>
    <n v="10000"/>
    <s v="Ali"/>
  </r>
  <r>
    <s v="ORD002"/>
    <x v="1"/>
    <x v="1"/>
    <s v="Karachi"/>
    <x v="0"/>
    <s v="Mouse"/>
    <n v="3"/>
    <n v="1500"/>
    <n v="4500"/>
    <s v="Sara"/>
  </r>
  <r>
    <s v="ORD003"/>
    <x v="2"/>
    <x v="0"/>
    <s v="Lahore"/>
    <x v="1"/>
    <s v="Chair"/>
    <n v="2"/>
    <n v="8000"/>
    <n v="16000"/>
    <s v="Ahmed"/>
  </r>
  <r>
    <s v="ORD004"/>
    <x v="3"/>
    <x v="2"/>
    <s v="Islamabad"/>
    <x v="0"/>
    <s v="Keyboard"/>
    <n v="4"/>
    <n v="2500"/>
    <n v="10000"/>
    <s v="Ayesha"/>
  </r>
  <r>
    <s v="ORD005"/>
    <x v="4"/>
    <x v="3"/>
    <s v="Peshawar"/>
    <x v="1"/>
    <s v="Table"/>
    <n v="1"/>
    <n v="15000"/>
    <n v="15000"/>
    <s v="Bilal"/>
  </r>
  <r>
    <s v="ORD006"/>
    <x v="5"/>
    <x v="1"/>
    <s v="Karachi"/>
    <x v="0"/>
    <s v="Laptop"/>
    <n v="2"/>
    <n v="85000"/>
    <n v="170000"/>
    <s v="Sara"/>
  </r>
  <r>
    <s v="ORD007"/>
    <x v="6"/>
    <x v="0"/>
    <s v="Lahore"/>
    <x v="0"/>
    <s v="Monitor"/>
    <n v="3"/>
    <n v="30000"/>
    <n v="90000"/>
    <s v="Ali"/>
  </r>
  <r>
    <s v="ORD008"/>
    <x v="7"/>
    <x v="1"/>
    <s v="Karachi"/>
    <x v="0"/>
    <s v="Printer"/>
    <n v="2"/>
    <n v="25000"/>
    <n v="50000"/>
    <s v="Sara"/>
  </r>
  <r>
    <s v="ORD009"/>
    <x v="8"/>
    <x v="2"/>
    <s v="Islamabad"/>
    <x v="1"/>
    <s v="Sofa"/>
    <n v="1"/>
    <n v="60000"/>
    <n v="60000"/>
    <s v="Ayesha"/>
  </r>
  <r>
    <s v="ORD010"/>
    <x v="9"/>
    <x v="3"/>
    <s v="Peshawar"/>
    <x v="0"/>
    <s v="Tablet"/>
    <n v="4"/>
    <n v="40000"/>
    <n v="160000"/>
    <s v="Bilal"/>
  </r>
  <r>
    <s v="ORD011"/>
    <x v="10"/>
    <x v="0"/>
    <s v="Lahore"/>
    <x v="0"/>
    <s v="Mouse"/>
    <n v="6"/>
    <n v="1500"/>
    <n v="9000"/>
    <s v="Ali"/>
  </r>
  <r>
    <s v="ORD012"/>
    <x v="11"/>
    <x v="1"/>
    <s v="Karachi"/>
    <x v="1"/>
    <s v="Desk"/>
    <n v="2"/>
    <n v="20000"/>
    <n v="40000"/>
    <s v="Sara"/>
  </r>
  <r>
    <s v="ORD013"/>
    <x v="12"/>
    <x v="2"/>
    <s v="Islamabad"/>
    <x v="0"/>
    <s v="Laptop"/>
    <n v="1"/>
    <n v="85000"/>
    <n v="85000"/>
    <n v="7225000000"/>
  </r>
  <r>
    <s v="ORD014"/>
    <x v="13"/>
    <x v="3"/>
    <s v="Peshawar"/>
    <x v="1"/>
    <s v="Chair"/>
    <n v="3"/>
    <n v="8000"/>
    <n v="24000"/>
    <s v="Bilal"/>
  </r>
  <r>
    <s v="ORD015"/>
    <x v="14"/>
    <x v="0"/>
    <s v="Lahore"/>
    <x v="0"/>
    <s v="Keyboard"/>
    <n v="5"/>
    <n v="2500"/>
    <n v="12500"/>
    <s v="Ali"/>
  </r>
  <r>
    <s v="ORD016"/>
    <x v="15"/>
    <x v="1"/>
    <s v="Karachi"/>
    <x v="0"/>
    <s v="Headphones"/>
    <n v="4"/>
    <n v="2000"/>
    <n v="8000"/>
    <s v="Sara"/>
  </r>
  <r>
    <s v="ORD017"/>
    <x v="16"/>
    <x v="2"/>
    <s v="Islamabad"/>
    <x v="1"/>
    <s v="Table"/>
    <n v="2"/>
    <n v="15000"/>
    <n v="30000"/>
    <s v="Ayesha"/>
  </r>
  <r>
    <s v="ORD018"/>
    <x v="17"/>
    <x v="3"/>
    <s v="Peshawar"/>
    <x v="0"/>
    <s v="Laptop"/>
    <n v="1"/>
    <n v="85000"/>
    <n v="85000"/>
    <s v="Bilal"/>
  </r>
  <r>
    <s v="ORD019"/>
    <x v="18"/>
    <x v="0"/>
    <s v="Lahore"/>
    <x v="1"/>
    <s v="Sofa"/>
    <n v="1"/>
    <n v="60000"/>
    <n v="60000"/>
    <s v="Ali"/>
  </r>
  <r>
    <s v="ORD020"/>
    <x v="19"/>
    <x v="1"/>
    <s v="Karachi"/>
    <x v="0"/>
    <s v="Monitor"/>
    <n v="2"/>
    <n v="30000"/>
    <n v="60000"/>
    <s v="Sara"/>
  </r>
  <r>
    <s v="ORD021"/>
    <x v="20"/>
    <x v="2"/>
    <s v="Islamabad"/>
    <x v="0"/>
    <s v="Tablet"/>
    <n v="3"/>
    <n v="40000"/>
    <n v="120000"/>
    <s v="Ayesha"/>
  </r>
  <r>
    <s v="ORD022"/>
    <x v="21"/>
    <x v="3"/>
    <s v="Peshawar"/>
    <x v="1"/>
    <s v="Desk"/>
    <n v="2"/>
    <n v="20000"/>
    <n v="40000"/>
    <s v="Bilal"/>
  </r>
  <r>
    <s v="ORD023"/>
    <x v="22"/>
    <x v="0"/>
    <s v="Lahore"/>
    <x v="0"/>
    <s v="Printer"/>
    <n v="1"/>
    <n v="25000"/>
    <n v="25000"/>
    <s v="Ali"/>
  </r>
  <r>
    <s v="ORD024"/>
    <x v="23"/>
    <x v="1"/>
    <s v="Karachi"/>
    <x v="1"/>
    <s v="Chair"/>
    <n v="4"/>
    <n v="8000"/>
    <n v="32000"/>
    <s v="Sara"/>
  </r>
  <r>
    <s v="ORD025"/>
    <x v="24"/>
    <x v="2"/>
    <s v="Islamabad"/>
    <x v="0"/>
    <s v="Mouse"/>
    <n v="5"/>
    <n v="1500"/>
    <n v="7500"/>
    <s v="Ayesha"/>
  </r>
  <r>
    <s v="ORD026"/>
    <x v="25"/>
    <x v="3"/>
    <s v="Peshawar"/>
    <x v="0"/>
    <s v="Keyboard"/>
    <n v="3"/>
    <n v="2500"/>
    <n v="7500"/>
    <s v="Bilal"/>
  </r>
  <r>
    <s v="ORD027"/>
    <x v="26"/>
    <x v="0"/>
    <s v="Lahore"/>
    <x v="1"/>
    <s v="Table"/>
    <n v="2"/>
    <n v="15000"/>
    <n v="30000"/>
    <s v="Ali"/>
  </r>
  <r>
    <s v="ORD028"/>
    <x v="27"/>
    <x v="1"/>
    <s v="Karachi"/>
    <x v="0"/>
    <s v="Laptop"/>
    <n v="1"/>
    <n v="85000"/>
    <n v="85000"/>
    <s v="Sara"/>
  </r>
  <r>
    <s v="ORD029"/>
    <x v="28"/>
    <x v="2"/>
    <s v="Islamabad"/>
    <x v="0"/>
    <s v="Monitor"/>
    <n v="2"/>
    <n v="30000"/>
    <n v="60000"/>
    <s v="Ayesha"/>
  </r>
  <r>
    <s v="ORD030"/>
    <x v="29"/>
    <x v="3"/>
    <s v="Peshawar"/>
    <x v="1"/>
    <s v="Sofa"/>
    <n v="1"/>
    <n v="60000"/>
    <n v="60000"/>
    <s v="Bil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C8" firstHeaderRow="0" firstDataRow="1" firstDataCol="1"/>
  <pivotFields count="10"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8" baseField="0" baseItem="1" numFmtId="164"/>
    <dataField name="Sum of Units_Sold" fld="6" baseField="0" baseItem="1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32" firstHeaderRow="1" firstDataRow="1" firstDataCol="1"/>
  <pivotFields count="10">
    <pivotField showAll="0"/>
    <pivotField axis="axisRow" showAll="0">
      <items count="31"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_Sales" fld="8" baseField="0" baseItem="0"/>
  </dataFields>
  <formats count="1">
    <format dxfId="1">
      <pivotArea field="1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4" firstHeaderRow="1" firstDataRow="1" firstDataCol="1"/>
  <pivotFields count="10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A4" sqref="A4:C4"/>
    </sheetView>
  </sheetViews>
  <sheetFormatPr defaultRowHeight="15" x14ac:dyDescent="0.25"/>
  <cols>
    <col min="1" max="1" width="13.140625" customWidth="1"/>
    <col min="2" max="2" width="17.85546875" bestFit="1" customWidth="1"/>
    <col min="3" max="3" width="17.42578125" bestFit="1" customWidth="1"/>
  </cols>
  <sheetData>
    <row r="3" spans="1:3" x14ac:dyDescent="0.25">
      <c r="A3" s="19" t="s">
        <v>86</v>
      </c>
      <c r="B3" t="s">
        <v>84</v>
      </c>
      <c r="C3" t="s">
        <v>85</v>
      </c>
    </row>
    <row r="4" spans="1:3" x14ac:dyDescent="0.25">
      <c r="A4" s="20" t="s">
        <v>26</v>
      </c>
      <c r="B4" s="17">
        <v>372500</v>
      </c>
      <c r="C4" s="18">
        <v>18</v>
      </c>
    </row>
    <row r="5" spans="1:3" x14ac:dyDescent="0.25">
      <c r="A5" s="20" t="s">
        <v>31</v>
      </c>
      <c r="B5" s="17">
        <v>391500</v>
      </c>
      <c r="C5" s="18">
        <v>15</v>
      </c>
    </row>
    <row r="6" spans="1:3" x14ac:dyDescent="0.25">
      <c r="A6" s="20" t="s">
        <v>17</v>
      </c>
      <c r="B6" s="17">
        <v>449500</v>
      </c>
      <c r="C6" s="18">
        <v>20</v>
      </c>
    </row>
    <row r="7" spans="1:3" x14ac:dyDescent="0.25">
      <c r="A7" s="20" t="s">
        <v>11</v>
      </c>
      <c r="B7" s="17">
        <v>252500</v>
      </c>
      <c r="C7" s="18">
        <v>25</v>
      </c>
    </row>
    <row r="8" spans="1:3" x14ac:dyDescent="0.25">
      <c r="A8" s="20" t="s">
        <v>87</v>
      </c>
      <c r="B8" s="17">
        <v>1466000</v>
      </c>
      <c r="C8" s="18">
        <v>78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E2" sqref="E2"/>
    </sheetView>
  </sheetViews>
  <sheetFormatPr defaultRowHeight="15" x14ac:dyDescent="0.25"/>
  <cols>
    <col min="1" max="1" width="12.28515625" customWidth="1"/>
    <col min="2" max="2" width="15.85546875" bestFit="1" customWidth="1"/>
    <col min="3" max="3" width="11.28515625" customWidth="1"/>
    <col min="5" max="5" width="11" customWidth="1"/>
    <col min="6" max="6" width="16.28515625" customWidth="1"/>
    <col min="7" max="7" width="12.7109375" customWidth="1"/>
    <col min="8" max="8" width="12.42578125" customWidth="1"/>
    <col min="9" max="9" width="13.140625" customWidth="1"/>
    <col min="10" max="10" width="13.85546875" customWidth="1"/>
  </cols>
  <sheetData>
    <row r="1" spans="1:1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x14ac:dyDescent="0.25">
      <c r="A2" s="8" t="s">
        <v>10</v>
      </c>
      <c r="B2" s="9">
        <v>45658</v>
      </c>
      <c r="C2" s="10" t="s">
        <v>11</v>
      </c>
      <c r="D2" s="10" t="s">
        <v>12</v>
      </c>
      <c r="E2" s="10" t="s">
        <v>13</v>
      </c>
      <c r="F2" s="10" t="s">
        <v>14</v>
      </c>
      <c r="G2" s="10">
        <v>5</v>
      </c>
      <c r="H2" s="10">
        <v>2000</v>
      </c>
      <c r="I2" s="10">
        <f>G2*H2</f>
        <v>10000</v>
      </c>
      <c r="J2" s="11" t="s">
        <v>15</v>
      </c>
    </row>
    <row r="3" spans="1:10" x14ac:dyDescent="0.25">
      <c r="A3" s="12" t="s">
        <v>16</v>
      </c>
      <c r="B3" s="13">
        <v>45689</v>
      </c>
      <c r="C3" s="14" t="s">
        <v>17</v>
      </c>
      <c r="D3" s="14" t="s">
        <v>18</v>
      </c>
      <c r="E3" s="14" t="s">
        <v>13</v>
      </c>
      <c r="F3" s="14" t="s">
        <v>19</v>
      </c>
      <c r="G3" s="14">
        <v>3</v>
      </c>
      <c r="H3" s="14">
        <v>1500</v>
      </c>
      <c r="I3" s="14">
        <f t="shared" ref="I3:J31" si="0">G3*H3</f>
        <v>4500</v>
      </c>
      <c r="J3" s="15" t="s">
        <v>20</v>
      </c>
    </row>
    <row r="4" spans="1:10" x14ac:dyDescent="0.25">
      <c r="A4" s="8" t="s">
        <v>21</v>
      </c>
      <c r="B4" s="9">
        <v>45717</v>
      </c>
      <c r="C4" s="10" t="s">
        <v>11</v>
      </c>
      <c r="D4" s="10" t="s">
        <v>12</v>
      </c>
      <c r="E4" s="10" t="s">
        <v>22</v>
      </c>
      <c r="F4" s="10" t="s">
        <v>23</v>
      </c>
      <c r="G4" s="10">
        <v>2</v>
      </c>
      <c r="H4" s="10">
        <v>8000</v>
      </c>
      <c r="I4" s="10">
        <f t="shared" si="0"/>
        <v>16000</v>
      </c>
      <c r="J4" s="11" t="s">
        <v>24</v>
      </c>
    </row>
    <row r="5" spans="1:10" ht="30" x14ac:dyDescent="0.25">
      <c r="A5" s="12" t="s">
        <v>25</v>
      </c>
      <c r="B5" s="13">
        <v>45748</v>
      </c>
      <c r="C5" s="14" t="s">
        <v>26</v>
      </c>
      <c r="D5" s="14" t="s">
        <v>27</v>
      </c>
      <c r="E5" s="14" t="s">
        <v>13</v>
      </c>
      <c r="F5" s="14" t="s">
        <v>28</v>
      </c>
      <c r="G5" s="14">
        <v>4</v>
      </c>
      <c r="H5" s="14">
        <v>2500</v>
      </c>
      <c r="I5" s="14">
        <f t="shared" si="0"/>
        <v>10000</v>
      </c>
      <c r="J5" s="15" t="s">
        <v>29</v>
      </c>
    </row>
    <row r="6" spans="1:10" ht="30" x14ac:dyDescent="0.25">
      <c r="A6" s="8" t="s">
        <v>30</v>
      </c>
      <c r="B6" s="9">
        <v>45778</v>
      </c>
      <c r="C6" s="10" t="s">
        <v>31</v>
      </c>
      <c r="D6" s="10" t="s">
        <v>32</v>
      </c>
      <c r="E6" s="10" t="s">
        <v>22</v>
      </c>
      <c r="F6" s="10" t="s">
        <v>33</v>
      </c>
      <c r="G6" s="10">
        <v>1</v>
      </c>
      <c r="H6" s="10">
        <v>15000</v>
      </c>
      <c r="I6" s="10">
        <f t="shared" si="0"/>
        <v>15000</v>
      </c>
      <c r="J6" s="11" t="s">
        <v>34</v>
      </c>
    </row>
    <row r="7" spans="1:10" x14ac:dyDescent="0.25">
      <c r="A7" s="12" t="s">
        <v>35</v>
      </c>
      <c r="B7" s="13">
        <v>45809</v>
      </c>
      <c r="C7" s="14" t="s">
        <v>17</v>
      </c>
      <c r="D7" s="14" t="s">
        <v>18</v>
      </c>
      <c r="E7" s="14" t="s">
        <v>13</v>
      </c>
      <c r="F7" s="14" t="s">
        <v>36</v>
      </c>
      <c r="G7" s="14">
        <v>2</v>
      </c>
      <c r="H7" s="14">
        <v>85000</v>
      </c>
      <c r="I7" s="14">
        <f t="shared" si="0"/>
        <v>170000</v>
      </c>
      <c r="J7" s="15" t="s">
        <v>20</v>
      </c>
    </row>
    <row r="8" spans="1:10" x14ac:dyDescent="0.25">
      <c r="A8" s="8" t="s">
        <v>37</v>
      </c>
      <c r="B8" s="9">
        <v>45839</v>
      </c>
      <c r="C8" s="10" t="s">
        <v>11</v>
      </c>
      <c r="D8" s="10" t="s">
        <v>12</v>
      </c>
      <c r="E8" s="10" t="s">
        <v>13</v>
      </c>
      <c r="F8" s="10" t="s">
        <v>38</v>
      </c>
      <c r="G8" s="10">
        <v>3</v>
      </c>
      <c r="H8" s="10">
        <v>30000</v>
      </c>
      <c r="I8" s="10">
        <f t="shared" si="0"/>
        <v>90000</v>
      </c>
      <c r="J8" s="11" t="s">
        <v>15</v>
      </c>
    </row>
    <row r="9" spans="1:10" x14ac:dyDescent="0.25">
      <c r="A9" s="12" t="s">
        <v>39</v>
      </c>
      <c r="B9" s="13">
        <v>45870</v>
      </c>
      <c r="C9" s="14" t="s">
        <v>17</v>
      </c>
      <c r="D9" s="14" t="s">
        <v>18</v>
      </c>
      <c r="E9" s="14" t="s">
        <v>13</v>
      </c>
      <c r="F9" s="14" t="s">
        <v>40</v>
      </c>
      <c r="G9" s="14">
        <v>2</v>
      </c>
      <c r="H9" s="14">
        <v>25000</v>
      </c>
      <c r="I9" s="14">
        <f t="shared" si="0"/>
        <v>50000</v>
      </c>
      <c r="J9" s="15" t="s">
        <v>20</v>
      </c>
    </row>
    <row r="10" spans="1:10" ht="30" x14ac:dyDescent="0.25">
      <c r="A10" s="8" t="s">
        <v>41</v>
      </c>
      <c r="B10" s="9">
        <v>45901</v>
      </c>
      <c r="C10" s="10" t="s">
        <v>26</v>
      </c>
      <c r="D10" s="10" t="s">
        <v>27</v>
      </c>
      <c r="E10" s="10" t="s">
        <v>22</v>
      </c>
      <c r="F10" s="10" t="s">
        <v>42</v>
      </c>
      <c r="G10" s="10">
        <v>1</v>
      </c>
      <c r="H10" s="10">
        <v>60000</v>
      </c>
      <c r="I10" s="10">
        <f t="shared" si="0"/>
        <v>60000</v>
      </c>
      <c r="J10" s="11" t="s">
        <v>29</v>
      </c>
    </row>
    <row r="11" spans="1:10" ht="30" x14ac:dyDescent="0.25">
      <c r="A11" s="12" t="s">
        <v>43</v>
      </c>
      <c r="B11" s="13">
        <v>45931</v>
      </c>
      <c r="C11" s="14" t="s">
        <v>31</v>
      </c>
      <c r="D11" s="14" t="s">
        <v>32</v>
      </c>
      <c r="E11" s="14" t="s">
        <v>13</v>
      </c>
      <c r="F11" s="14" t="s">
        <v>44</v>
      </c>
      <c r="G11" s="14">
        <v>4</v>
      </c>
      <c r="H11" s="14">
        <v>40000</v>
      </c>
      <c r="I11" s="14">
        <f t="shared" si="0"/>
        <v>160000</v>
      </c>
      <c r="J11" s="15" t="s">
        <v>34</v>
      </c>
    </row>
    <row r="12" spans="1:10" x14ac:dyDescent="0.25">
      <c r="A12" s="8" t="s">
        <v>45</v>
      </c>
      <c r="B12" s="9">
        <v>45962</v>
      </c>
      <c r="C12" s="10" t="s">
        <v>11</v>
      </c>
      <c r="D12" s="10" t="s">
        <v>12</v>
      </c>
      <c r="E12" s="10" t="s">
        <v>13</v>
      </c>
      <c r="F12" s="10" t="s">
        <v>19</v>
      </c>
      <c r="G12" s="10">
        <v>6</v>
      </c>
      <c r="H12" s="10">
        <v>1500</v>
      </c>
      <c r="I12" s="10">
        <f t="shared" si="0"/>
        <v>9000</v>
      </c>
      <c r="J12" s="11" t="s">
        <v>15</v>
      </c>
    </row>
    <row r="13" spans="1:10" x14ac:dyDescent="0.25">
      <c r="A13" s="12" t="s">
        <v>46</v>
      </c>
      <c r="B13" s="13">
        <v>45992</v>
      </c>
      <c r="C13" s="14" t="s">
        <v>17</v>
      </c>
      <c r="D13" s="14" t="s">
        <v>18</v>
      </c>
      <c r="E13" s="14" t="s">
        <v>22</v>
      </c>
      <c r="F13" s="14" t="s">
        <v>47</v>
      </c>
      <c r="G13" s="14">
        <v>2</v>
      </c>
      <c r="H13" s="14">
        <v>20000</v>
      </c>
      <c r="I13" s="14">
        <f t="shared" si="0"/>
        <v>40000</v>
      </c>
      <c r="J13" s="15" t="s">
        <v>20</v>
      </c>
    </row>
    <row r="14" spans="1:10" ht="30" x14ac:dyDescent="0.25">
      <c r="A14" s="8" t="s">
        <v>48</v>
      </c>
      <c r="B14" s="9" t="s">
        <v>49</v>
      </c>
      <c r="C14" s="10" t="s">
        <v>26</v>
      </c>
      <c r="D14" s="10" t="s">
        <v>27</v>
      </c>
      <c r="E14" s="10" t="s">
        <v>13</v>
      </c>
      <c r="F14" s="10" t="s">
        <v>36</v>
      </c>
      <c r="G14" s="10">
        <v>1</v>
      </c>
      <c r="H14" s="10">
        <v>85000</v>
      </c>
      <c r="I14" s="10">
        <f t="shared" si="0"/>
        <v>85000</v>
      </c>
      <c r="J14" s="11">
        <f t="shared" si="0"/>
        <v>7225000000</v>
      </c>
    </row>
    <row r="15" spans="1:10" ht="30" x14ac:dyDescent="0.25">
      <c r="A15" s="12" t="s">
        <v>50</v>
      </c>
      <c r="B15" s="13" t="s">
        <v>51</v>
      </c>
      <c r="C15" s="14" t="s">
        <v>31</v>
      </c>
      <c r="D15" s="14" t="s">
        <v>32</v>
      </c>
      <c r="E15" s="14" t="s">
        <v>22</v>
      </c>
      <c r="F15" s="14" t="s">
        <v>23</v>
      </c>
      <c r="G15" s="14">
        <v>3</v>
      </c>
      <c r="H15" s="14">
        <v>8000</v>
      </c>
      <c r="I15" s="14">
        <f t="shared" si="0"/>
        <v>24000</v>
      </c>
      <c r="J15" s="15" t="s">
        <v>34</v>
      </c>
    </row>
    <row r="16" spans="1:10" x14ac:dyDescent="0.25">
      <c r="A16" s="8" t="s">
        <v>52</v>
      </c>
      <c r="B16" s="9" t="s">
        <v>53</v>
      </c>
      <c r="C16" s="10" t="s">
        <v>11</v>
      </c>
      <c r="D16" s="10" t="s">
        <v>12</v>
      </c>
      <c r="E16" s="10" t="s">
        <v>13</v>
      </c>
      <c r="F16" s="10" t="s">
        <v>28</v>
      </c>
      <c r="G16" s="10">
        <v>5</v>
      </c>
      <c r="H16" s="10">
        <v>2500</v>
      </c>
      <c r="I16" s="10">
        <f t="shared" si="0"/>
        <v>12500</v>
      </c>
      <c r="J16" s="11" t="s">
        <v>15</v>
      </c>
    </row>
    <row r="17" spans="1:10" x14ac:dyDescent="0.25">
      <c r="A17" s="12" t="s">
        <v>54</v>
      </c>
      <c r="B17" s="13" t="s">
        <v>55</v>
      </c>
      <c r="C17" s="14" t="s">
        <v>17</v>
      </c>
      <c r="D17" s="14" t="s">
        <v>18</v>
      </c>
      <c r="E17" s="14" t="s">
        <v>13</v>
      </c>
      <c r="F17" s="14" t="s">
        <v>14</v>
      </c>
      <c r="G17" s="14">
        <v>4</v>
      </c>
      <c r="H17" s="14">
        <v>2000</v>
      </c>
      <c r="I17" s="14">
        <f t="shared" si="0"/>
        <v>8000</v>
      </c>
      <c r="J17" s="15" t="s">
        <v>20</v>
      </c>
    </row>
    <row r="18" spans="1:10" ht="30" x14ac:dyDescent="0.25">
      <c r="A18" s="8" t="s">
        <v>56</v>
      </c>
      <c r="B18" s="9" t="s">
        <v>57</v>
      </c>
      <c r="C18" s="10" t="s">
        <v>26</v>
      </c>
      <c r="D18" s="10" t="s">
        <v>27</v>
      </c>
      <c r="E18" s="10" t="s">
        <v>22</v>
      </c>
      <c r="F18" s="10" t="s">
        <v>33</v>
      </c>
      <c r="G18" s="10">
        <v>2</v>
      </c>
      <c r="H18" s="10">
        <v>15000</v>
      </c>
      <c r="I18" s="10">
        <f t="shared" si="0"/>
        <v>30000</v>
      </c>
      <c r="J18" s="11" t="s">
        <v>29</v>
      </c>
    </row>
    <row r="19" spans="1:10" ht="30" x14ac:dyDescent="0.25">
      <c r="A19" s="12" t="s">
        <v>58</v>
      </c>
      <c r="B19" s="13" t="s">
        <v>59</v>
      </c>
      <c r="C19" s="14" t="s">
        <v>31</v>
      </c>
      <c r="D19" s="14" t="s">
        <v>32</v>
      </c>
      <c r="E19" s="14" t="s">
        <v>13</v>
      </c>
      <c r="F19" s="14" t="s">
        <v>36</v>
      </c>
      <c r="G19" s="14">
        <v>1</v>
      </c>
      <c r="H19" s="14">
        <v>85000</v>
      </c>
      <c r="I19" s="14">
        <f t="shared" si="0"/>
        <v>85000</v>
      </c>
      <c r="J19" s="15" t="s">
        <v>34</v>
      </c>
    </row>
    <row r="20" spans="1:10" x14ac:dyDescent="0.25">
      <c r="A20" s="8" t="s">
        <v>60</v>
      </c>
      <c r="B20" s="9" t="s">
        <v>61</v>
      </c>
      <c r="C20" s="10" t="s">
        <v>11</v>
      </c>
      <c r="D20" s="10" t="s">
        <v>12</v>
      </c>
      <c r="E20" s="10" t="s">
        <v>22</v>
      </c>
      <c r="F20" s="10" t="s">
        <v>42</v>
      </c>
      <c r="G20" s="10">
        <v>1</v>
      </c>
      <c r="H20" s="10">
        <v>60000</v>
      </c>
      <c r="I20" s="10">
        <f t="shared" si="0"/>
        <v>60000</v>
      </c>
      <c r="J20" s="11" t="s">
        <v>15</v>
      </c>
    </row>
    <row r="21" spans="1:10" x14ac:dyDescent="0.25">
      <c r="A21" s="12" t="s">
        <v>62</v>
      </c>
      <c r="B21" s="13" t="s">
        <v>63</v>
      </c>
      <c r="C21" s="14" t="s">
        <v>17</v>
      </c>
      <c r="D21" s="14" t="s">
        <v>18</v>
      </c>
      <c r="E21" s="14" t="s">
        <v>13</v>
      </c>
      <c r="F21" s="14" t="s">
        <v>38</v>
      </c>
      <c r="G21" s="14">
        <v>2</v>
      </c>
      <c r="H21" s="14">
        <v>30000</v>
      </c>
      <c r="I21" s="14">
        <f t="shared" si="0"/>
        <v>60000</v>
      </c>
      <c r="J21" s="15" t="s">
        <v>20</v>
      </c>
    </row>
    <row r="22" spans="1:10" ht="30" x14ac:dyDescent="0.25">
      <c r="A22" s="8" t="s">
        <v>64</v>
      </c>
      <c r="B22" s="9" t="s">
        <v>65</v>
      </c>
      <c r="C22" s="10" t="s">
        <v>26</v>
      </c>
      <c r="D22" s="10" t="s">
        <v>27</v>
      </c>
      <c r="E22" s="10" t="s">
        <v>13</v>
      </c>
      <c r="F22" s="10" t="s">
        <v>44</v>
      </c>
      <c r="G22" s="10">
        <v>3</v>
      </c>
      <c r="H22" s="10">
        <v>40000</v>
      </c>
      <c r="I22" s="10">
        <f t="shared" si="0"/>
        <v>120000</v>
      </c>
      <c r="J22" s="11" t="s">
        <v>29</v>
      </c>
    </row>
    <row r="23" spans="1:10" ht="30" x14ac:dyDescent="0.25">
      <c r="A23" s="12" t="s">
        <v>66</v>
      </c>
      <c r="B23" s="13" t="s">
        <v>67</v>
      </c>
      <c r="C23" s="14" t="s">
        <v>31</v>
      </c>
      <c r="D23" s="14" t="s">
        <v>32</v>
      </c>
      <c r="E23" s="14" t="s">
        <v>22</v>
      </c>
      <c r="F23" s="14" t="s">
        <v>47</v>
      </c>
      <c r="G23" s="14">
        <v>2</v>
      </c>
      <c r="H23" s="14">
        <v>20000</v>
      </c>
      <c r="I23" s="14">
        <f t="shared" si="0"/>
        <v>40000</v>
      </c>
      <c r="J23" s="15" t="s">
        <v>34</v>
      </c>
    </row>
    <row r="24" spans="1:10" x14ac:dyDescent="0.25">
      <c r="A24" s="8" t="s">
        <v>68</v>
      </c>
      <c r="B24" s="9" t="s">
        <v>69</v>
      </c>
      <c r="C24" s="10" t="s">
        <v>11</v>
      </c>
      <c r="D24" s="10" t="s">
        <v>12</v>
      </c>
      <c r="E24" s="10" t="s">
        <v>13</v>
      </c>
      <c r="F24" s="10" t="s">
        <v>40</v>
      </c>
      <c r="G24" s="10">
        <v>1</v>
      </c>
      <c r="H24" s="10">
        <v>25000</v>
      </c>
      <c r="I24" s="10">
        <f t="shared" si="0"/>
        <v>25000</v>
      </c>
      <c r="J24" s="11" t="s">
        <v>15</v>
      </c>
    </row>
    <row r="25" spans="1:10" x14ac:dyDescent="0.25">
      <c r="A25" s="12" t="s">
        <v>70</v>
      </c>
      <c r="B25" s="13" t="s">
        <v>71</v>
      </c>
      <c r="C25" s="14" t="s">
        <v>17</v>
      </c>
      <c r="D25" s="14" t="s">
        <v>18</v>
      </c>
      <c r="E25" s="14" t="s">
        <v>22</v>
      </c>
      <c r="F25" s="14" t="s">
        <v>23</v>
      </c>
      <c r="G25" s="14">
        <v>4</v>
      </c>
      <c r="H25" s="14">
        <v>8000</v>
      </c>
      <c r="I25" s="14">
        <f t="shared" si="0"/>
        <v>32000</v>
      </c>
      <c r="J25" s="15" t="s">
        <v>20</v>
      </c>
    </row>
    <row r="26" spans="1:10" ht="30" x14ac:dyDescent="0.25">
      <c r="A26" s="8" t="s">
        <v>72</v>
      </c>
      <c r="B26" s="9" t="s">
        <v>73</v>
      </c>
      <c r="C26" s="10" t="s">
        <v>26</v>
      </c>
      <c r="D26" s="10" t="s">
        <v>27</v>
      </c>
      <c r="E26" s="10" t="s">
        <v>13</v>
      </c>
      <c r="F26" s="10" t="s">
        <v>19</v>
      </c>
      <c r="G26" s="10">
        <v>5</v>
      </c>
      <c r="H26" s="10">
        <v>1500</v>
      </c>
      <c r="I26" s="10">
        <f t="shared" si="0"/>
        <v>7500</v>
      </c>
      <c r="J26" s="11" t="s">
        <v>29</v>
      </c>
    </row>
    <row r="27" spans="1:10" ht="30" x14ac:dyDescent="0.25">
      <c r="A27" s="12" t="s">
        <v>74</v>
      </c>
      <c r="B27" s="13" t="s">
        <v>75</v>
      </c>
      <c r="C27" s="14" t="s">
        <v>31</v>
      </c>
      <c r="D27" s="14" t="s">
        <v>32</v>
      </c>
      <c r="E27" s="14" t="s">
        <v>13</v>
      </c>
      <c r="F27" s="14" t="s">
        <v>28</v>
      </c>
      <c r="G27" s="14">
        <v>3</v>
      </c>
      <c r="H27" s="14">
        <v>2500</v>
      </c>
      <c r="I27" s="14">
        <f t="shared" si="0"/>
        <v>7500</v>
      </c>
      <c r="J27" s="15" t="s">
        <v>34</v>
      </c>
    </row>
    <row r="28" spans="1:10" x14ac:dyDescent="0.25">
      <c r="A28" s="8" t="s">
        <v>76</v>
      </c>
      <c r="B28" s="9" t="s">
        <v>77</v>
      </c>
      <c r="C28" s="10" t="s">
        <v>11</v>
      </c>
      <c r="D28" s="10" t="s">
        <v>12</v>
      </c>
      <c r="E28" s="10" t="s">
        <v>22</v>
      </c>
      <c r="F28" s="10" t="s">
        <v>33</v>
      </c>
      <c r="G28" s="10">
        <v>2</v>
      </c>
      <c r="H28" s="10">
        <v>15000</v>
      </c>
      <c r="I28" s="10">
        <f t="shared" si="0"/>
        <v>30000</v>
      </c>
      <c r="J28" s="11" t="s">
        <v>15</v>
      </c>
    </row>
    <row r="29" spans="1:10" x14ac:dyDescent="0.25">
      <c r="A29" s="12" t="s">
        <v>78</v>
      </c>
      <c r="B29" s="13" t="s">
        <v>79</v>
      </c>
      <c r="C29" s="14" t="s">
        <v>17</v>
      </c>
      <c r="D29" s="14" t="s">
        <v>18</v>
      </c>
      <c r="E29" s="14" t="s">
        <v>13</v>
      </c>
      <c r="F29" s="14" t="s">
        <v>36</v>
      </c>
      <c r="G29" s="14">
        <v>1</v>
      </c>
      <c r="H29" s="14">
        <v>85000</v>
      </c>
      <c r="I29" s="14">
        <f t="shared" si="0"/>
        <v>85000</v>
      </c>
      <c r="J29" s="15" t="s">
        <v>20</v>
      </c>
    </row>
    <row r="30" spans="1:10" ht="30" x14ac:dyDescent="0.25">
      <c r="A30" s="8" t="s">
        <v>80</v>
      </c>
      <c r="B30" s="9" t="s">
        <v>81</v>
      </c>
      <c r="C30" s="10" t="s">
        <v>26</v>
      </c>
      <c r="D30" s="10" t="s">
        <v>27</v>
      </c>
      <c r="E30" s="10" t="s">
        <v>13</v>
      </c>
      <c r="F30" s="10" t="s">
        <v>38</v>
      </c>
      <c r="G30" s="10">
        <v>2</v>
      </c>
      <c r="H30" s="10">
        <v>30000</v>
      </c>
      <c r="I30" s="10">
        <f t="shared" si="0"/>
        <v>60000</v>
      </c>
      <c r="J30" s="11" t="s">
        <v>29</v>
      </c>
    </row>
    <row r="31" spans="1:10" ht="30" x14ac:dyDescent="0.25">
      <c r="A31" s="1" t="s">
        <v>82</v>
      </c>
      <c r="B31" s="2" t="s">
        <v>83</v>
      </c>
      <c r="C31" s="3" t="s">
        <v>31</v>
      </c>
      <c r="D31" s="3" t="s">
        <v>32</v>
      </c>
      <c r="E31" s="3" t="s">
        <v>22</v>
      </c>
      <c r="F31" s="3" t="s">
        <v>42</v>
      </c>
      <c r="G31" s="3">
        <v>1</v>
      </c>
      <c r="H31" s="3">
        <v>60000</v>
      </c>
      <c r="I31" s="3">
        <f t="shared" si="0"/>
        <v>60000</v>
      </c>
      <c r="J31" s="4" t="s">
        <v>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0" sqref="N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A3" sqref="A3:B3"/>
    </sheetView>
  </sheetViews>
  <sheetFormatPr defaultRowHeight="15" x14ac:dyDescent="0.25"/>
  <cols>
    <col min="1" max="1" width="13.42578125" customWidth="1"/>
    <col min="2" max="2" width="17.85546875" bestFit="1" customWidth="1"/>
  </cols>
  <sheetData>
    <row r="1" spans="1:2" x14ac:dyDescent="0.25">
      <c r="A1" s="22" t="s">
        <v>86</v>
      </c>
      <c r="B1" t="s">
        <v>84</v>
      </c>
    </row>
    <row r="2" spans="1:2" x14ac:dyDescent="0.25">
      <c r="A2" s="20" t="s">
        <v>49</v>
      </c>
      <c r="B2" s="16">
        <v>85000</v>
      </c>
    </row>
    <row r="3" spans="1:2" x14ac:dyDescent="0.25">
      <c r="A3" s="20" t="s">
        <v>51</v>
      </c>
      <c r="B3" s="16">
        <v>24000</v>
      </c>
    </row>
    <row r="4" spans="1:2" x14ac:dyDescent="0.25">
      <c r="A4" s="20" t="s">
        <v>53</v>
      </c>
      <c r="B4" s="16">
        <v>12500</v>
      </c>
    </row>
    <row r="5" spans="1:2" x14ac:dyDescent="0.25">
      <c r="A5" s="20" t="s">
        <v>55</v>
      </c>
      <c r="B5" s="16">
        <v>8000</v>
      </c>
    </row>
    <row r="6" spans="1:2" x14ac:dyDescent="0.25">
      <c r="A6" s="20" t="s">
        <v>57</v>
      </c>
      <c r="B6" s="16">
        <v>30000</v>
      </c>
    </row>
    <row r="7" spans="1:2" x14ac:dyDescent="0.25">
      <c r="A7" s="20" t="s">
        <v>59</v>
      </c>
      <c r="B7" s="16">
        <v>85000</v>
      </c>
    </row>
    <row r="8" spans="1:2" x14ac:dyDescent="0.25">
      <c r="A8" s="20" t="s">
        <v>61</v>
      </c>
      <c r="B8" s="16">
        <v>60000</v>
      </c>
    </row>
    <row r="9" spans="1:2" x14ac:dyDescent="0.25">
      <c r="A9" s="20" t="s">
        <v>63</v>
      </c>
      <c r="B9" s="16">
        <v>60000</v>
      </c>
    </row>
    <row r="10" spans="1:2" x14ac:dyDescent="0.25">
      <c r="A10" s="20" t="s">
        <v>65</v>
      </c>
      <c r="B10" s="16">
        <v>120000</v>
      </c>
    </row>
    <row r="11" spans="1:2" x14ac:dyDescent="0.25">
      <c r="A11" s="20" t="s">
        <v>67</v>
      </c>
      <c r="B11" s="16">
        <v>40000</v>
      </c>
    </row>
    <row r="12" spans="1:2" x14ac:dyDescent="0.25">
      <c r="A12" s="20" t="s">
        <v>69</v>
      </c>
      <c r="B12" s="16">
        <v>25000</v>
      </c>
    </row>
    <row r="13" spans="1:2" x14ac:dyDescent="0.25">
      <c r="A13" s="20" t="s">
        <v>71</v>
      </c>
      <c r="B13" s="16">
        <v>32000</v>
      </c>
    </row>
    <row r="14" spans="1:2" x14ac:dyDescent="0.25">
      <c r="A14" s="20" t="s">
        <v>73</v>
      </c>
      <c r="B14" s="16">
        <v>7500</v>
      </c>
    </row>
    <row r="15" spans="1:2" x14ac:dyDescent="0.25">
      <c r="A15" s="20" t="s">
        <v>75</v>
      </c>
      <c r="B15" s="16">
        <v>7500</v>
      </c>
    </row>
    <row r="16" spans="1:2" x14ac:dyDescent="0.25">
      <c r="A16" s="20" t="s">
        <v>77</v>
      </c>
      <c r="B16" s="16">
        <v>30000</v>
      </c>
    </row>
    <row r="17" spans="1:2" x14ac:dyDescent="0.25">
      <c r="A17" s="20" t="s">
        <v>79</v>
      </c>
      <c r="B17" s="16">
        <v>85000</v>
      </c>
    </row>
    <row r="18" spans="1:2" x14ac:dyDescent="0.25">
      <c r="A18" s="20" t="s">
        <v>81</v>
      </c>
      <c r="B18" s="16">
        <v>60000</v>
      </c>
    </row>
    <row r="19" spans="1:2" x14ac:dyDescent="0.25">
      <c r="A19" s="20" t="s">
        <v>83</v>
      </c>
      <c r="B19" s="16">
        <v>60000</v>
      </c>
    </row>
    <row r="20" spans="1:2" x14ac:dyDescent="0.25">
      <c r="A20" s="21">
        <v>45658</v>
      </c>
      <c r="B20" s="16">
        <v>10000</v>
      </c>
    </row>
    <row r="21" spans="1:2" x14ac:dyDescent="0.25">
      <c r="A21" s="21">
        <v>45689</v>
      </c>
      <c r="B21" s="16">
        <v>4500</v>
      </c>
    </row>
    <row r="22" spans="1:2" x14ac:dyDescent="0.25">
      <c r="A22" s="21">
        <v>45717</v>
      </c>
      <c r="B22" s="16">
        <v>16000</v>
      </c>
    </row>
    <row r="23" spans="1:2" x14ac:dyDescent="0.25">
      <c r="A23" s="21">
        <v>45748</v>
      </c>
      <c r="B23" s="16">
        <v>10000</v>
      </c>
    </row>
    <row r="24" spans="1:2" x14ac:dyDescent="0.25">
      <c r="A24" s="21">
        <v>45778</v>
      </c>
      <c r="B24" s="16">
        <v>15000</v>
      </c>
    </row>
    <row r="25" spans="1:2" x14ac:dyDescent="0.25">
      <c r="A25" s="21">
        <v>45809</v>
      </c>
      <c r="B25" s="16">
        <v>170000</v>
      </c>
    </row>
    <row r="26" spans="1:2" x14ac:dyDescent="0.25">
      <c r="A26" s="21">
        <v>45839</v>
      </c>
      <c r="B26" s="16">
        <v>90000</v>
      </c>
    </row>
    <row r="27" spans="1:2" x14ac:dyDescent="0.25">
      <c r="A27" s="21">
        <v>45870</v>
      </c>
      <c r="B27" s="16">
        <v>50000</v>
      </c>
    </row>
    <row r="28" spans="1:2" x14ac:dyDescent="0.25">
      <c r="A28" s="21">
        <v>45901</v>
      </c>
      <c r="B28" s="16">
        <v>60000</v>
      </c>
    </row>
    <row r="29" spans="1:2" x14ac:dyDescent="0.25">
      <c r="A29" s="21">
        <v>45931</v>
      </c>
      <c r="B29" s="16">
        <v>160000</v>
      </c>
    </row>
    <row r="30" spans="1:2" x14ac:dyDescent="0.25">
      <c r="A30" s="21">
        <v>45962</v>
      </c>
      <c r="B30" s="16">
        <v>9000</v>
      </c>
    </row>
    <row r="31" spans="1:2" x14ac:dyDescent="0.25">
      <c r="A31" s="21">
        <v>45992</v>
      </c>
      <c r="B31" s="16">
        <v>40000</v>
      </c>
    </row>
    <row r="32" spans="1:2" x14ac:dyDescent="0.25">
      <c r="A32" s="20" t="s">
        <v>87</v>
      </c>
      <c r="B32" s="16">
        <v>1466000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3" sqref="E3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1" spans="1:2" x14ac:dyDescent="0.25">
      <c r="A1" s="19" t="s">
        <v>86</v>
      </c>
      <c r="B1" t="s">
        <v>84</v>
      </c>
    </row>
    <row r="2" spans="1:2" x14ac:dyDescent="0.25">
      <c r="A2" s="20" t="s">
        <v>13</v>
      </c>
      <c r="B2" s="16">
        <v>1059000</v>
      </c>
    </row>
    <row r="3" spans="1:2" x14ac:dyDescent="0.25">
      <c r="A3" s="20" t="s">
        <v>22</v>
      </c>
      <c r="B3" s="16">
        <v>407000</v>
      </c>
    </row>
    <row r="4" spans="1:2" x14ac:dyDescent="0.25">
      <c r="A4" s="20" t="s">
        <v>87</v>
      </c>
      <c r="B4" s="16">
        <v>1466000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Sheet5</vt:lpstr>
      <vt:lpstr>Sheet1</vt:lpstr>
      <vt:lpstr>Sheet2</vt:lpstr>
      <vt:lpstr>Sheet3</vt:lpstr>
      <vt:lpstr>Sheet4</vt:lpstr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2026-02-14T02:02:49Z</dcterms:created>
  <dcterms:modified xsi:type="dcterms:W3CDTF">2026-03-05T07:34:56Z</dcterms:modified>
</cp:coreProperties>
</file>